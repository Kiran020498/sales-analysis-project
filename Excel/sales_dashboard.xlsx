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Kiran Kumar\sales-analysis-project\Excel\"/>
    </mc:Choice>
  </mc:AlternateContent>
  <xr:revisionPtr revIDLastSave="0" documentId="13_ncr:1_{93BCF307-1F7E-44CC-94C4-ECC74CEF6985}" xr6:coauthVersionLast="47" xr6:coauthVersionMax="47" xr10:uidLastSave="{00000000-0000-0000-0000-000000000000}"/>
  <bookViews>
    <workbookView xWindow="-108" yWindow="-108" windowWidth="23256" windowHeight="12456" tabRatio="994" xr2:uid="{00000000-000D-0000-FFFF-FFFF00000000}"/>
  </bookViews>
  <sheets>
    <sheet name="DASHBOARD" sheetId="1" r:id="rId1"/>
    <sheet name="PIVOT_Monthly_Revenue" sheetId="6" r:id="rId2"/>
    <sheet name="DATA_Monthly_Revenue" sheetId="2" r:id="rId3"/>
    <sheet name="PIVOT_Category_Revenue" sheetId="7" r:id="rId4"/>
    <sheet name="DATA_Category_Revenue" sheetId="3" r:id="rId5"/>
    <sheet name="PIVOT_Region_Revenue" sheetId="9" r:id="rId6"/>
    <sheet name="DATA_Region_Revenue" sheetId="4" r:id="rId7"/>
    <sheet name="DATA_Top10_Products" sheetId="5" r:id="rId8"/>
  </sheets>
  <definedNames>
    <definedName name="Slicer_category">#N/A</definedName>
    <definedName name="Slicer_region">#N/A</definedName>
    <definedName name="Slicer_YEAR">#N/A</definedName>
  </definedNames>
  <calcPr calcId="191029"/>
  <pivotCaches>
    <pivotCache cacheId="11" r:id="rId9"/>
    <pivotCache cacheId="6" r:id="rId10"/>
    <pivotCache cacheId="1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8" i="2" l="1"/>
  <c r="D3" i="2"/>
  <c r="D4" i="2"/>
  <c r="D37" i="2"/>
  <c r="D2"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alcChain>
</file>

<file path=xl/sharedStrings.xml><?xml version="1.0" encoding="utf-8"?>
<sst xmlns="http://schemas.openxmlformats.org/spreadsheetml/2006/main" count="77" uniqueCount="41">
  <si>
    <t>total_revenue</t>
  </si>
  <si>
    <t>YEAR</t>
  </si>
  <si>
    <t>MONTH</t>
  </si>
  <si>
    <t>TOTAL_REVENUE</t>
  </si>
  <si>
    <t>category</t>
  </si>
  <si>
    <t>Sports</t>
  </si>
  <si>
    <t>Home</t>
  </si>
  <si>
    <t>Office</t>
  </si>
  <si>
    <t>Clothing</t>
  </si>
  <si>
    <t>Electronics</t>
  </si>
  <si>
    <t>region</t>
  </si>
  <si>
    <t>East</t>
  </si>
  <si>
    <t>West</t>
  </si>
  <si>
    <t>South</t>
  </si>
  <si>
    <t>North</t>
  </si>
  <si>
    <t>DATE</t>
  </si>
  <si>
    <t>product_name</t>
  </si>
  <si>
    <t>total_orders</t>
  </si>
  <si>
    <t>Product[i]</t>
  </si>
  <si>
    <t>Top Product Categories by Revenue</t>
  </si>
  <si>
    <t>Row Labels</t>
  </si>
  <si>
    <t>Grand Total</t>
  </si>
  <si>
    <t>2024</t>
  </si>
  <si>
    <t>Sum of TOTAL_REVENUE</t>
  </si>
  <si>
    <t>Jan</t>
  </si>
  <si>
    <t>Feb</t>
  </si>
  <si>
    <t>Mar</t>
  </si>
  <si>
    <t>Apr</t>
  </si>
  <si>
    <t>May</t>
  </si>
  <si>
    <t>Jun</t>
  </si>
  <si>
    <t>Jul</t>
  </si>
  <si>
    <t>Aug</t>
  </si>
  <si>
    <t>Sep</t>
  </si>
  <si>
    <t>Oct</t>
  </si>
  <si>
    <t>Nov</t>
  </si>
  <si>
    <t>Dec</t>
  </si>
  <si>
    <t>Sum of total_revenue</t>
  </si>
  <si>
    <t>Sales Performance Dashboard</t>
  </si>
  <si>
    <r>
      <rPr>
        <b/>
        <sz val="16"/>
        <color theme="1"/>
        <rFont val="Calibri"/>
        <family val="2"/>
        <scheme val="minor"/>
      </rPr>
      <t xml:space="preserve">TOP Category: </t>
    </r>
    <r>
      <rPr>
        <b/>
        <sz val="26"/>
        <color theme="1"/>
        <rFont val="Calibri"/>
        <family val="2"/>
        <scheme val="minor"/>
      </rPr>
      <t>Sports</t>
    </r>
  </si>
  <si>
    <r>
      <rPr>
        <b/>
        <sz val="18"/>
        <color theme="1"/>
        <rFont val="Calibri"/>
        <family val="2"/>
        <scheme val="minor"/>
      </rPr>
      <t>Top Region:</t>
    </r>
    <r>
      <rPr>
        <b/>
        <sz val="26"/>
        <color theme="1"/>
        <rFont val="Calibri"/>
        <family val="2"/>
        <scheme val="minor"/>
      </rPr>
      <t xml:space="preserve"> EAST</t>
    </r>
  </si>
  <si>
    <r>
      <rPr>
        <b/>
        <sz val="18"/>
        <color theme="1"/>
        <rFont val="Calibri"/>
        <family val="2"/>
        <scheme val="minor"/>
      </rPr>
      <t xml:space="preserve"> TOTAL REVENUE:</t>
    </r>
    <r>
      <rPr>
        <b/>
        <sz val="24"/>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</si>
</sst>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 #,##0"/>
  </numFmts>
  <fonts count="10" x14ac:knownFonts="1">
    <font>
      <sz val="11"/>
      <color theme="1"/>
      <name val="Calibri"/>
      <family val="2"/>
      <scheme val="minor"/>
    </font>
    <font>
      <b/>
      <sz val="11"/>
      <color theme="1"/>
      <name val="Calibri"/>
      <family val="2"/>
      <scheme val="minor"/>
    </font>
    <font>
      <b/>
      <sz val="11"/>
      <name val="Calibri"/>
    </font>
    <font>
      <b/>
      <sz val="11"/>
      <name val="Calibri"/>
      <family val="2"/>
    </font>
    <font>
      <b/>
      <sz val="16"/>
      <color theme="1"/>
      <name val="Calibri"/>
      <family val="2"/>
      <scheme val="minor"/>
    </font>
    <font>
      <b/>
      <sz val="14"/>
      <color theme="1"/>
      <name val="Calibri"/>
      <family val="2"/>
      <scheme val="minor"/>
    </font>
    <font>
      <b/>
      <sz val="24"/>
      <color theme="1"/>
      <name val="Calibri"/>
      <family val="2"/>
      <scheme val="minor"/>
    </font>
    <font>
      <b/>
      <sz val="26"/>
      <color theme="1"/>
      <name val="Calibri"/>
      <family val="2"/>
      <scheme val="minor"/>
    </font>
    <font>
      <b/>
      <sz val="20"/>
      <color theme="1"/>
      <name val="Calibri"/>
      <family val="2"/>
      <scheme val="minor"/>
    </font>
    <font>
      <b/>
      <sz val="18"/>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9">
    <xf numFmtId="0" fontId="0" fillId="0" borderId="0" xfId="0"/>
    <xf numFmtId="0" fontId="2" fillId="0" borderId="1" xfId="0" applyFont="1" applyBorder="1" applyAlignment="1">
      <alignment horizontal="center" vertical="top"/>
    </xf>
    <xf numFmtId="14" fontId="0" fillId="0" borderId="0" xfId="0" applyNumberFormat="1"/>
    <xf numFmtId="0" fontId="3" fillId="0" borderId="1" xfId="0" applyFont="1" applyBorder="1" applyAlignment="1">
      <alignment horizontal="center" vertical="top"/>
    </xf>
    <xf numFmtId="0" fontId="1" fillId="0" borderId="0" xfId="0" applyFont="1" applyAlignment="1">
      <alignment horizontal="center" vertical="top"/>
    </xf>
    <xf numFmtId="0" fontId="4" fillId="0" borderId="0" xfId="0" applyFont="1"/>
    <xf numFmtId="164" fontId="6" fillId="0" borderId="0" xfId="0" applyNumberFormat="1" applyFont="1"/>
    <xf numFmtId="0" fontId="7"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5" fillId="0" borderId="2" xfId="0" applyFont="1" applyBorder="1" applyAlignment="1">
      <alignment horizontal="center"/>
    </xf>
    <xf numFmtId="0" fontId="0" fillId="0" borderId="0" xfId="0" applyNumberFormat="1"/>
    <xf numFmtId="164" fontId="0" fillId="0" borderId="0" xfId="0" applyNumberFormat="1" applyAlignment="1">
      <alignment horizontal="left"/>
    </xf>
    <xf numFmtId="0" fontId="1" fillId="0" borderId="0" xfId="0" applyFont="1"/>
    <xf numFmtId="0" fontId="1" fillId="0" borderId="0" xfId="0" applyFont="1" applyAlignment="1">
      <alignment horizontal="center"/>
    </xf>
    <xf numFmtId="0" fontId="8" fillId="0" borderId="0" xfId="0" applyFont="1" applyAlignment="1">
      <alignment horizontal="center"/>
    </xf>
    <xf numFmtId="0" fontId="3" fillId="0" borderId="3" xfId="0" applyFont="1" applyBorder="1" applyAlignment="1">
      <alignment horizontal="center" vertical="top"/>
    </xf>
    <xf numFmtId="164" fontId="7" fillId="0" borderId="0" xfId="0" applyNumberFormat="1" applyFont="1" applyAlignment="1">
      <alignment horizontal="left"/>
    </xf>
  </cellXfs>
  <cellStyles count="1">
    <cellStyle name="Normal" xfId="0" builtinId="0"/>
  </cellStyles>
  <dxfs count="5">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2]\ #,##0"/>
      <alignment horizontal="left" vertical="bottom" textRotation="0" wrapText="0" indent="0" justifyLastLine="0" shrinkToFit="0" readingOrder="0"/>
    </dxf>
    <dxf>
      <alignment horizontal="left" vertical="bottom" textRotation="0" wrapText="0" indent="0" justifyLastLine="0" shrinkToFit="0" readingOrder="0"/>
    </dxf>
    <dxf>
      <border outline="0">
        <bottom style="thin">
          <color auto="1"/>
        </bottom>
      </border>
    </dxf>
    <dxf>
      <border outline="0">
        <top style="thin">
          <color auto="1"/>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[sales_dashboard.xlsx]PIVOT_Category_Revenue!PivotTable1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Product Category</a:t>
            </a:r>
          </a:p>
        </c:rich>
      </c:tx>
      <c:layout>
        <c:manualLayout>
          <c:xMode val="edge"/>
          <c:yMode val="edge"/>
          <c:x val="0.26194444444444442"/>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22263888888888889"/>
          <c:w val="0.83953018372703414"/>
          <c:h val="0.66996172353455818"/>
        </c:manualLayout>
      </c:layout>
      <c:barChart>
        <c:barDir val="col"/>
        <c:grouping val="clustered"/>
        <c:varyColors val="0"/>
        <c:ser>
          <c:idx val="0"/>
          <c:order val="0"/>
          <c:tx>
            <c:strRef>
              <c:f>PIVOT_Category_Revenue!$B$3</c:f>
              <c:strCache>
                <c:ptCount val="1"/>
                <c:pt idx="0">
                  <c:v>Total</c:v>
                </c:pt>
              </c:strCache>
            </c:strRef>
          </c:tx>
          <c:spPr>
            <a:solidFill>
              <a:schemeClr val="accent1"/>
            </a:solidFill>
            <a:ln>
              <a:noFill/>
            </a:ln>
            <a:effectLst/>
          </c:spPr>
          <c:invertIfNegative val="0"/>
          <c:cat>
            <c:strRef>
              <c:f>PIVOT_Category_Revenue!$A$4:$A$5</c:f>
              <c:strCache>
                <c:ptCount val="1"/>
                <c:pt idx="0">
                  <c:v>Office</c:v>
                </c:pt>
              </c:strCache>
            </c:strRef>
          </c:cat>
          <c:val>
            <c:numRef>
              <c:f>PIVOT_Category_Revenue!$B$4:$B$5</c:f>
              <c:numCache>
                <c:formatCode>General</c:formatCode>
                <c:ptCount val="1"/>
                <c:pt idx="0">
                  <c:v>3139724.29</c:v>
                </c:pt>
              </c:numCache>
            </c:numRef>
          </c:val>
          <c:extLst>
            <c:ext xmlns:c16="http://schemas.microsoft.com/office/drawing/2014/chart" uri="{C3380CC4-5D6E-409C-BE32-E72D297353CC}">
              <c16:uniqueId val="{00000000-E8EE-45DA-BFEC-0C2BFC58597B}"/>
            </c:ext>
          </c:extLst>
        </c:ser>
        <c:dLbls>
          <c:showLegendKey val="0"/>
          <c:showVal val="0"/>
          <c:showCatName val="0"/>
          <c:showSerName val="0"/>
          <c:showPercent val="0"/>
          <c:showBubbleSize val="0"/>
        </c:dLbls>
        <c:gapWidth val="219"/>
        <c:overlap val="-27"/>
        <c:axId val="359766400"/>
        <c:axId val="359770240"/>
      </c:barChart>
      <c:catAx>
        <c:axId val="35976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770240"/>
        <c:crosses val="autoZero"/>
        <c:auto val="1"/>
        <c:lblAlgn val="ctr"/>
        <c:lblOffset val="100"/>
        <c:noMultiLvlLbl val="0"/>
      </c:catAx>
      <c:valAx>
        <c:axId val="359770240"/>
        <c:scaling>
          <c:orientation val="minMax"/>
        </c:scaling>
        <c:delete val="0"/>
        <c:axPos val="l"/>
        <c:majorGridlines>
          <c:spPr>
            <a:ln w="9525" cap="flat" cmpd="sng" algn="ctr">
              <a:solidFill>
                <a:schemeClr val="tx1">
                  <a:lumMod val="15000"/>
                  <a:lumOff val="85000"/>
                </a:schemeClr>
              </a:solidFill>
              <a:round/>
            </a:ln>
            <a:effectLst/>
          </c:spPr>
        </c:majorGridlines>
        <c:numFmt formatCode="[$€-2]\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76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[sales_dashboard.xlsx]PIVOT_Monthly_Revenue!PivotTable1</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Monthly Revenue Trend (2022–2024)</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20719059602085821"/>
          <c:y val="4.990522018081073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PIVOT_Monthly_Revenue!$B$3</c:f>
              <c:strCache>
                <c:ptCount val="1"/>
                <c:pt idx="0">
                  <c:v>Total</c:v>
                </c:pt>
              </c:strCache>
            </c:strRef>
          </c:tx>
          <c:spPr>
            <a:ln w="28575" cap="rnd">
              <a:solidFill>
                <a:schemeClr val="accent1"/>
              </a:solidFill>
              <a:round/>
            </a:ln>
            <a:effectLst/>
          </c:spPr>
          <c:marker>
            <c:symbol val="none"/>
          </c:marker>
          <c:cat>
            <c:multiLvlStrRef>
              <c:f>PIVOT_Monthly_Revenue!$A$4:$A$17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2024</c:v>
                  </c:pt>
                </c:lvl>
              </c:multiLvlStrCache>
            </c:multiLvlStrRef>
          </c:cat>
          <c:val>
            <c:numRef>
              <c:f>PIVOT_Monthly_Revenue!$B$4:$B$17</c:f>
              <c:numCache>
                <c:formatCode>General</c:formatCode>
                <c:ptCount val="12"/>
                <c:pt idx="0">
                  <c:v>414543.73</c:v>
                </c:pt>
                <c:pt idx="1">
                  <c:v>393369.8</c:v>
                </c:pt>
                <c:pt idx="2">
                  <c:v>449463.44</c:v>
                </c:pt>
                <c:pt idx="3">
                  <c:v>455790.15</c:v>
                </c:pt>
                <c:pt idx="4">
                  <c:v>471889.43</c:v>
                </c:pt>
                <c:pt idx="5">
                  <c:v>439426.11</c:v>
                </c:pt>
                <c:pt idx="6">
                  <c:v>425390.97</c:v>
                </c:pt>
                <c:pt idx="7">
                  <c:v>431551.19</c:v>
                </c:pt>
                <c:pt idx="8">
                  <c:v>435790.96</c:v>
                </c:pt>
                <c:pt idx="9">
                  <c:v>406923.22</c:v>
                </c:pt>
                <c:pt idx="10">
                  <c:v>461174.65</c:v>
                </c:pt>
                <c:pt idx="11">
                  <c:v>441955.07</c:v>
                </c:pt>
              </c:numCache>
            </c:numRef>
          </c:val>
          <c:smooth val="0"/>
          <c:extLst>
            <c:ext xmlns:c16="http://schemas.microsoft.com/office/drawing/2014/chart" uri="{C3380CC4-5D6E-409C-BE32-E72D297353CC}">
              <c16:uniqueId val="{00000000-DD2F-4327-882F-158B1D0D1EEE}"/>
            </c:ext>
          </c:extLst>
        </c:ser>
        <c:dLbls>
          <c:showLegendKey val="0"/>
          <c:showVal val="0"/>
          <c:showCatName val="0"/>
          <c:showSerName val="0"/>
          <c:showPercent val="0"/>
          <c:showBubbleSize val="0"/>
        </c:dLbls>
        <c:smooth val="0"/>
        <c:axId val="359746240"/>
        <c:axId val="359743360"/>
      </c:lineChart>
      <c:catAx>
        <c:axId val="35974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743360"/>
        <c:crosses val="autoZero"/>
        <c:auto val="1"/>
        <c:lblAlgn val="ctr"/>
        <c:lblOffset val="100"/>
        <c:noMultiLvlLbl val="0"/>
      </c:catAx>
      <c:valAx>
        <c:axId val="359743360"/>
        <c:scaling>
          <c:orientation val="minMax"/>
        </c:scaling>
        <c:delete val="0"/>
        <c:axPos val="l"/>
        <c:majorGridlines>
          <c:spPr>
            <a:ln w="9525" cap="flat" cmpd="sng" algn="ctr">
              <a:solidFill>
                <a:schemeClr val="tx1">
                  <a:lumMod val="15000"/>
                  <a:lumOff val="85000"/>
                </a:schemeClr>
              </a:solidFill>
              <a:round/>
            </a:ln>
            <a:effectLst/>
          </c:spPr>
        </c:majorGridlines>
        <c:numFmt formatCode="[$€-2]\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74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[sales_dashboard.xlsx]PIVOT_Region_Revenue!PivotTable3</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Revenue by Region</a:t>
            </a:r>
            <a:endParaRPr lang="en-US" sz="1400" b="0" i="0" u="none" strike="noStrike" kern="1200" spc="0" baseline="0">
              <a:solidFill>
                <a:sysClr val="windowText" lastClr="000000">
                  <a:lumMod val="65000"/>
                  <a:lumOff val="35000"/>
                </a:sysClr>
              </a:solidFill>
            </a:endParaRPr>
          </a:p>
        </c:rich>
      </c:tx>
      <c:layout>
        <c:manualLayout>
          <c:xMode val="edge"/>
          <c:yMode val="edge"/>
          <c:x val="0.36472222222222228"/>
          <c:y val="5.555555555555555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80336832895886"/>
          <c:y val="0.19486111111111112"/>
          <c:w val="0.82430774278215224"/>
          <c:h val="0.72088764946048411"/>
        </c:manualLayout>
      </c:layout>
      <c:barChart>
        <c:barDir val="bar"/>
        <c:grouping val="clustered"/>
        <c:varyColors val="0"/>
        <c:ser>
          <c:idx val="0"/>
          <c:order val="0"/>
          <c:tx>
            <c:strRef>
              <c:f>PIVOT_Region_Revenue!$B$3</c:f>
              <c:strCache>
                <c:ptCount val="1"/>
                <c:pt idx="0">
                  <c:v>Total</c:v>
                </c:pt>
              </c:strCache>
            </c:strRef>
          </c:tx>
          <c:spPr>
            <a:solidFill>
              <a:schemeClr val="accent1"/>
            </a:solidFill>
            <a:ln>
              <a:noFill/>
            </a:ln>
            <a:effectLst/>
          </c:spPr>
          <c:invertIfNegative val="0"/>
          <c:cat>
            <c:strRef>
              <c:f>PIVOT_Region_Revenue!$A$4:$A$8</c:f>
              <c:strCache>
                <c:ptCount val="4"/>
                <c:pt idx="0">
                  <c:v>East</c:v>
                </c:pt>
                <c:pt idx="1">
                  <c:v>North</c:v>
                </c:pt>
                <c:pt idx="2">
                  <c:v>South</c:v>
                </c:pt>
                <c:pt idx="3">
                  <c:v>West</c:v>
                </c:pt>
              </c:strCache>
            </c:strRef>
          </c:cat>
          <c:val>
            <c:numRef>
              <c:f>PIVOT_Region_Revenue!$B$4:$B$8</c:f>
              <c:numCache>
                <c:formatCode>General</c:formatCode>
                <c:ptCount val="4"/>
                <c:pt idx="0">
                  <c:v>3873231.43</c:v>
                </c:pt>
                <c:pt idx="1">
                  <c:v>3752970.69</c:v>
                </c:pt>
                <c:pt idx="2">
                  <c:v>3796181.84</c:v>
                </c:pt>
                <c:pt idx="3">
                  <c:v>3871728.04</c:v>
                </c:pt>
              </c:numCache>
            </c:numRef>
          </c:val>
          <c:extLst>
            <c:ext xmlns:c16="http://schemas.microsoft.com/office/drawing/2014/chart" uri="{C3380CC4-5D6E-409C-BE32-E72D297353CC}">
              <c16:uniqueId val="{00000000-170D-47A8-A229-8EA58CADC765}"/>
            </c:ext>
          </c:extLst>
        </c:ser>
        <c:dLbls>
          <c:showLegendKey val="0"/>
          <c:showVal val="0"/>
          <c:showCatName val="0"/>
          <c:showSerName val="0"/>
          <c:showPercent val="0"/>
          <c:showBubbleSize val="0"/>
        </c:dLbls>
        <c:gapWidth val="182"/>
        <c:axId val="359782720"/>
        <c:axId val="359790400"/>
      </c:barChart>
      <c:catAx>
        <c:axId val="35978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790400"/>
        <c:crosses val="autoZero"/>
        <c:auto val="1"/>
        <c:lblAlgn val="ctr"/>
        <c:lblOffset val="100"/>
        <c:noMultiLvlLbl val="0"/>
      </c:catAx>
      <c:valAx>
        <c:axId val="359790400"/>
        <c:scaling>
          <c:orientation val="minMax"/>
        </c:scaling>
        <c:delete val="0"/>
        <c:axPos val="b"/>
        <c:majorGridlines>
          <c:spPr>
            <a:ln w="9525" cap="flat" cmpd="sng" algn="ctr">
              <a:solidFill>
                <a:schemeClr val="tx1">
                  <a:lumMod val="15000"/>
                  <a:lumOff val="85000"/>
                </a:schemeClr>
              </a:solidFill>
              <a:round/>
            </a:ln>
            <a:effectLst/>
          </c:spPr>
        </c:majorGridlines>
        <c:numFmt formatCode="[$€-2]\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78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594360</xdr:colOff>
      <xdr:row>19</xdr:row>
      <xdr:rowOff>7620</xdr:rowOff>
    </xdr:from>
    <xdr:to>
      <xdr:col>14</xdr:col>
      <xdr:colOff>38100</xdr:colOff>
      <xdr:row>34</xdr:row>
      <xdr:rowOff>7620</xdr:rowOff>
    </xdr:to>
    <xdr:graphicFrame macro="">
      <xdr:nvGraphicFramePr>
        <xdr:cNvPr id="3" name="Chart 2">
          <a:extLst>
            <a:ext uri="{FF2B5EF4-FFF2-40B4-BE49-F238E27FC236}">
              <a16:creationId xmlns:a16="http://schemas.microsoft.com/office/drawing/2014/main" id="{C2187198-EF44-40D6-8F16-FB9BCD3FD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19</xdr:row>
      <xdr:rowOff>7620</xdr:rowOff>
    </xdr:from>
    <xdr:to>
      <xdr:col>7</xdr:col>
      <xdr:colOff>327660</xdr:colOff>
      <xdr:row>35</xdr:row>
      <xdr:rowOff>38100</xdr:rowOff>
    </xdr:to>
    <xdr:graphicFrame macro="">
      <xdr:nvGraphicFramePr>
        <xdr:cNvPr id="7" name="Chart 6">
          <a:extLst>
            <a:ext uri="{FF2B5EF4-FFF2-40B4-BE49-F238E27FC236}">
              <a16:creationId xmlns:a16="http://schemas.microsoft.com/office/drawing/2014/main" id="{924B329C-29F8-4B13-9794-D41126CAA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19</xdr:row>
      <xdr:rowOff>7620</xdr:rowOff>
    </xdr:from>
    <xdr:to>
      <xdr:col>23</xdr:col>
      <xdr:colOff>304800</xdr:colOff>
      <xdr:row>33</xdr:row>
      <xdr:rowOff>175260</xdr:rowOff>
    </xdr:to>
    <xdr:graphicFrame macro="">
      <xdr:nvGraphicFramePr>
        <xdr:cNvPr id="9" name="Chart 8">
          <a:extLst>
            <a:ext uri="{FF2B5EF4-FFF2-40B4-BE49-F238E27FC236}">
              <a16:creationId xmlns:a16="http://schemas.microsoft.com/office/drawing/2014/main" id="{4EC15683-0874-4CDE-A293-14E0D9251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22860</xdr:colOff>
      <xdr:row>9</xdr:row>
      <xdr:rowOff>15240</xdr:rowOff>
    </xdr:from>
    <xdr:to>
      <xdr:col>2</xdr:col>
      <xdr:colOff>243840</xdr:colOff>
      <xdr:row>16</xdr:row>
      <xdr:rowOff>1</xdr:rowOff>
    </xdr:to>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778EC724-FB10-4CDD-A42C-B9425A52DCD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74420" y="2042160"/>
              <a:ext cx="2019300" cy="1531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7620</xdr:colOff>
      <xdr:row>8</xdr:row>
      <xdr:rowOff>15240</xdr:rowOff>
    </xdr:from>
    <xdr:to>
      <xdr:col>11</xdr:col>
      <xdr:colOff>624840</xdr:colOff>
      <xdr:row>15</xdr:row>
      <xdr:rowOff>144780</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E7F8220C-9430-440F-BC82-3F75AA0C386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441180" y="1859280"/>
              <a:ext cx="25527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586740</xdr:colOff>
      <xdr:row>9</xdr:row>
      <xdr:rowOff>0</xdr:rowOff>
    </xdr:from>
    <xdr:to>
      <xdr:col>18</xdr:col>
      <xdr:colOff>586740</xdr:colOff>
      <xdr:row>16</xdr:row>
      <xdr:rowOff>0</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03E60DE0-8E5F-4DCF-A02A-86DB671CAB0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468600" y="2026920"/>
              <a:ext cx="182880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an Kumar" refreshedDate="46086.774434837964" createdVersion="8" refreshedVersion="8" minRefreshableVersion="3" recordCount="36" xr:uid="{D2A5ADA2-F140-4305-837A-188E3D5A7847}">
  <cacheSource type="worksheet">
    <worksheetSource ref="A1:D37" sheet="DATA_Monthly_Revenue"/>
  </cacheSource>
  <cacheFields count="6">
    <cacheField name="YEAR" numFmtId="0">
      <sharedItems containsSemiMixedTypes="0" containsString="0" containsNumber="1" containsInteger="1" minValue="2022" maxValue="2024" count="3">
        <n v="2022"/>
        <n v="2023"/>
        <n v="2024"/>
      </sharedItems>
    </cacheField>
    <cacheField name="MONTH" numFmtId="0">
      <sharedItems containsSemiMixedTypes="0" containsString="0" containsNumber="1" containsInteger="1" minValue="1" maxValue="12"/>
    </cacheField>
    <cacheField name="TOTAL_REVENUE" numFmtId="0">
      <sharedItems containsSemiMixedTypes="0" containsString="0" containsNumber="1" minValue="374257.3" maxValue="471889.43"/>
    </cacheField>
    <cacheField name="DATE" numFmtId="14">
      <sharedItems containsSemiMixedTypes="0" containsNonDate="0" containsDate="1" containsString="0" minDate="2022-01-01T00:00:00" maxDate="2024-12-02T00:00:00" count="36">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sharedItems>
      <fieldGroup par="5"/>
    </cacheField>
    <cacheField name="Months (DATE)" numFmtId="0" databaseField="0">
      <fieldGroup base="3">
        <rangePr groupBy="months" startDate="2022-01-01T00:00:00" endDate="2024-12-02T00:00:00"/>
        <groupItems count="14">
          <s v="&lt;01-01-2022"/>
          <s v="Jan"/>
          <s v="Feb"/>
          <s v="Mar"/>
          <s v="Apr"/>
          <s v="May"/>
          <s v="Jun"/>
          <s v="Jul"/>
          <s v="Aug"/>
          <s v="Sep"/>
          <s v="Oct"/>
          <s v="Nov"/>
          <s v="Dec"/>
          <s v="&gt;02-12-2024"/>
        </groupItems>
      </fieldGroup>
    </cacheField>
    <cacheField name="Years (DATE)" numFmtId="0" databaseField="0">
      <fieldGroup base="3">
        <rangePr groupBy="years" startDate="2022-01-01T00:00:00" endDate="2024-12-02T00:00:00"/>
        <groupItems count="5">
          <s v="&lt;01-01-2022"/>
          <s v="2022"/>
          <s v="2023"/>
          <s v="2024"/>
          <s v="&gt;02-12-2024"/>
        </groupItems>
      </fieldGroup>
    </cacheField>
  </cacheFields>
  <extLst>
    <ext xmlns:x14="http://schemas.microsoft.com/office/spreadsheetml/2009/9/main" uri="{725AE2AE-9491-48be-B2B4-4EB974FC3084}">
      <x14:pivotCacheDefinition pivotCacheId="21238072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an Kumar" refreshedDate="46087.438227546299" createdVersion="8" refreshedVersion="8" minRefreshableVersion="3" recordCount="5" xr:uid="{78C04199-1CA5-4CEF-942D-81983A9AD1C6}">
  <cacheSource type="worksheet">
    <worksheetSource ref="A1:B6" sheet="DATA_Category_Revenue"/>
  </cacheSource>
  <cacheFields count="2">
    <cacheField name="category" numFmtId="0">
      <sharedItems count="5">
        <s v="Sports"/>
        <s v="Home"/>
        <s v="Office"/>
        <s v="Clothing"/>
        <s v="Electronics"/>
      </sharedItems>
    </cacheField>
    <cacheField name="total_revenue" numFmtId="0">
      <sharedItems containsSemiMixedTypes="0" containsString="0" containsNumber="1" minValue="2104313.96" maxValue="3942935.32" count="5">
        <n v="3942935.32"/>
        <n v="3161785.13"/>
        <n v="3139724.29"/>
        <n v="2945353.3"/>
        <n v="2104313.96"/>
      </sharedItems>
    </cacheField>
  </cacheFields>
  <extLst>
    <ext xmlns:x14="http://schemas.microsoft.com/office/spreadsheetml/2009/9/main" uri="{725AE2AE-9491-48be-B2B4-4EB974FC3084}">
      <x14:pivotCacheDefinition pivotCacheId="108902669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an Kumar" refreshedDate="46087.456857870369" createdVersion="8" refreshedVersion="8" minRefreshableVersion="3" recordCount="4" xr:uid="{DE8CCA71-B8DB-48D4-8EDD-6366A1646964}">
  <cacheSource type="worksheet">
    <worksheetSource ref="A1:B5" sheet="DATA_Region_Revenue"/>
  </cacheSource>
  <cacheFields count="2">
    <cacheField name="region" numFmtId="0">
      <sharedItems count="4">
        <s v="East"/>
        <s v="West"/>
        <s v="South"/>
        <s v="North"/>
      </sharedItems>
    </cacheField>
    <cacheField name="total_revenue" numFmtId="0">
      <sharedItems containsSemiMixedTypes="0" containsString="0" containsNumber="1" minValue="3752970.69" maxValue="3873231.43"/>
    </cacheField>
  </cacheFields>
  <extLst>
    <ext xmlns:x14="http://schemas.microsoft.com/office/spreadsheetml/2009/9/main" uri="{725AE2AE-9491-48be-B2B4-4EB974FC3084}">
      <x14:pivotCacheDefinition pivotCacheId="2156542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n v="1"/>
    <n v="424619.87"/>
    <x v="0"/>
  </r>
  <r>
    <x v="0"/>
    <n v="2"/>
    <n v="374257.3"/>
    <x v="1"/>
  </r>
  <r>
    <x v="0"/>
    <n v="3"/>
    <n v="425126.01"/>
    <x v="2"/>
  </r>
  <r>
    <x v="0"/>
    <n v="4"/>
    <n v="394769.94"/>
    <x v="3"/>
  </r>
  <r>
    <x v="0"/>
    <n v="5"/>
    <n v="380524.77"/>
    <x v="4"/>
  </r>
  <r>
    <x v="0"/>
    <n v="6"/>
    <n v="397044.08"/>
    <x v="5"/>
  </r>
  <r>
    <x v="0"/>
    <n v="7"/>
    <n v="421121.94"/>
    <x v="6"/>
  </r>
  <r>
    <x v="0"/>
    <n v="8"/>
    <n v="425276.35"/>
    <x v="7"/>
  </r>
  <r>
    <x v="0"/>
    <n v="9"/>
    <n v="444301.17"/>
    <x v="8"/>
  </r>
  <r>
    <x v="0"/>
    <n v="10"/>
    <n v="404436.62"/>
    <x v="9"/>
  </r>
  <r>
    <x v="0"/>
    <n v="11"/>
    <n v="414188.9"/>
    <x v="10"/>
  </r>
  <r>
    <x v="0"/>
    <n v="12"/>
    <n v="397426.1"/>
    <x v="11"/>
  </r>
  <r>
    <x v="1"/>
    <n v="1"/>
    <n v="450573.64"/>
    <x v="12"/>
  </r>
  <r>
    <x v="1"/>
    <n v="2"/>
    <n v="375510.28"/>
    <x v="13"/>
  </r>
  <r>
    <x v="1"/>
    <n v="3"/>
    <n v="430819.5"/>
    <x v="14"/>
  </r>
  <r>
    <x v="1"/>
    <n v="4"/>
    <n v="405984.7"/>
    <x v="15"/>
  </r>
  <r>
    <x v="1"/>
    <n v="5"/>
    <n v="434039.5"/>
    <x v="16"/>
  </r>
  <r>
    <x v="1"/>
    <n v="6"/>
    <n v="431529.24"/>
    <x v="17"/>
  </r>
  <r>
    <x v="1"/>
    <n v="7"/>
    <n v="457643.36"/>
    <x v="18"/>
  </r>
  <r>
    <x v="1"/>
    <n v="8"/>
    <n v="456740.58"/>
    <x v="19"/>
  </r>
  <r>
    <x v="1"/>
    <n v="9"/>
    <n v="453092.56"/>
    <x v="20"/>
  </r>
  <r>
    <x v="1"/>
    <n v="10"/>
    <n v="429461.97"/>
    <x v="21"/>
  </r>
  <r>
    <x v="1"/>
    <n v="11"/>
    <n v="414942.34"/>
    <x v="22"/>
  </r>
  <r>
    <x v="1"/>
    <n v="12"/>
    <n v="423412.56"/>
    <x v="23"/>
  </r>
  <r>
    <x v="2"/>
    <n v="1"/>
    <n v="414543.73"/>
    <x v="24"/>
  </r>
  <r>
    <x v="2"/>
    <n v="2"/>
    <n v="393369.8"/>
    <x v="25"/>
  </r>
  <r>
    <x v="2"/>
    <n v="3"/>
    <n v="449463.44"/>
    <x v="26"/>
  </r>
  <r>
    <x v="2"/>
    <n v="4"/>
    <n v="455790.15"/>
    <x v="27"/>
  </r>
  <r>
    <x v="2"/>
    <n v="5"/>
    <n v="471889.43"/>
    <x v="28"/>
  </r>
  <r>
    <x v="2"/>
    <n v="6"/>
    <n v="439426.11"/>
    <x v="29"/>
  </r>
  <r>
    <x v="2"/>
    <n v="7"/>
    <n v="425390.97"/>
    <x v="30"/>
  </r>
  <r>
    <x v="2"/>
    <n v="8"/>
    <n v="431551.19"/>
    <x v="31"/>
  </r>
  <r>
    <x v="2"/>
    <n v="9"/>
    <n v="435790.96"/>
    <x v="32"/>
  </r>
  <r>
    <x v="2"/>
    <n v="10"/>
    <n v="406923.22"/>
    <x v="33"/>
  </r>
  <r>
    <x v="2"/>
    <n v="11"/>
    <n v="461174.65"/>
    <x v="34"/>
  </r>
  <r>
    <x v="2"/>
    <n v="12"/>
    <n v="441955.07"/>
    <x v="3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r>
  <r>
    <x v="1"/>
    <x v="1"/>
  </r>
  <r>
    <x v="2"/>
    <x v="2"/>
  </r>
  <r>
    <x v="3"/>
    <x v="3"/>
  </r>
  <r>
    <x v="4"/>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3873231.43"/>
  </r>
  <r>
    <x v="1"/>
    <n v="3871728.04"/>
  </r>
  <r>
    <x v="2"/>
    <n v="3796181.84"/>
  </r>
  <r>
    <x v="3"/>
    <n v="3752970.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07A9CA-8E45-4500-8F42-33FE85C8F1F4}"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7" firstHeaderRow="1" firstDataRow="1" firstDataCol="1"/>
  <pivotFields count="6">
    <pivotField showAll="0">
      <items count="4">
        <item h="1" x="0"/>
        <item h="1" x="1"/>
        <item x="2"/>
        <item t="default"/>
      </items>
    </pivotField>
    <pivotField showAll="0"/>
    <pivotField dataField="1" showAll="0"/>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5"/>
    <field x="4"/>
  </rowFields>
  <rowItems count="14">
    <i>
      <x v="3"/>
    </i>
    <i r="1">
      <x v="1"/>
    </i>
    <i r="1">
      <x v="2"/>
    </i>
    <i r="1">
      <x v="3"/>
    </i>
    <i r="1">
      <x v="4"/>
    </i>
    <i r="1">
      <x v="5"/>
    </i>
    <i r="1">
      <x v="6"/>
    </i>
    <i r="1">
      <x v="7"/>
    </i>
    <i r="1">
      <x v="8"/>
    </i>
    <i r="1">
      <x v="9"/>
    </i>
    <i r="1">
      <x v="10"/>
    </i>
    <i r="1">
      <x v="11"/>
    </i>
    <i r="1">
      <x v="12"/>
    </i>
    <i t="grand">
      <x/>
    </i>
  </rowItems>
  <colItems count="1">
    <i/>
  </colItems>
  <dataFields count="1">
    <dataField name="Sum of TOTAL_REVENUE" fld="2" baseField="0" baseItem="0"/>
  </dataFields>
  <chartFormats count="2">
    <chartFormat chart="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F353E6-A7FD-411A-8C3B-E46BCFBDE91B}"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2">
    <pivotField axis="axisRow" showAll="0">
      <items count="6">
        <item h="1" x="3"/>
        <item h="1" x="4"/>
        <item h="1" x="1"/>
        <item x="2"/>
        <item h="1" x="0"/>
        <item t="default"/>
      </items>
    </pivotField>
    <pivotField dataField="1" showAll="0"/>
  </pivotFields>
  <rowFields count="1">
    <field x="0"/>
  </rowFields>
  <rowItems count="2">
    <i>
      <x v="3"/>
    </i>
    <i t="grand">
      <x/>
    </i>
  </rowItems>
  <colItems count="1">
    <i/>
  </colItems>
  <dataFields count="1">
    <dataField name="Sum of total_revenue" fld="1"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6361CA-870C-4897-8265-39C3593B542F}"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
    <pivotField axis="axisRow" showAll="0">
      <items count="5">
        <item x="0"/>
        <item x="3"/>
        <item x="2"/>
        <item x="1"/>
        <item t="default"/>
      </items>
    </pivotField>
    <pivotField dataField="1" showAll="0"/>
  </pivotFields>
  <rowFields count="1">
    <field x="0"/>
  </rowFields>
  <rowItems count="5">
    <i>
      <x/>
    </i>
    <i>
      <x v="1"/>
    </i>
    <i>
      <x v="2"/>
    </i>
    <i>
      <x v="3"/>
    </i>
    <i t="grand">
      <x/>
    </i>
  </rowItems>
  <colItems count="1">
    <i/>
  </colItems>
  <dataFields count="1">
    <dataField name="Sum of total_revenue" fld="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D1F011B-A0BD-4117-972B-237D672334BE}" sourceName="YEAR">
  <pivotTables>
    <pivotTable tabId="6" name="PivotTable1"/>
  </pivotTables>
  <data>
    <tabular pivotCacheId="2123807219">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E21C40C-6C6B-443A-A257-A27066C2281D}" sourceName="category">
  <pivotTables>
    <pivotTable tabId="7" name="PivotTable1"/>
  </pivotTables>
  <data>
    <tabular pivotCacheId="1089026698">
      <items count="5">
        <i x="3"/>
        <i x="4"/>
        <i x="1"/>
        <i x="2"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2660120-7EE5-4187-AF8B-F545B427D937}" sourceName="region">
  <pivotTables>
    <pivotTable tabId="9" name="PivotTable3"/>
  </pivotTables>
  <data>
    <tabular pivotCacheId="215654248">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7F47B0E-F751-4C75-B9B9-59CBFC81B1E8}" cache="Slicer_YEAR" caption="YEAR" style="SlicerStyleLight5" rowHeight="234950"/>
  <slicer name="category" xr10:uid="{809979A0-7A24-4D53-9926-895D0F58AC99}" cache="Slicer_category" caption="category" style="SlicerStyleLight5" rowHeight="234950"/>
  <slicer name="region" xr10:uid="{738F3C73-308A-421B-A2EC-3353DC580AA1}" cache="Slicer_region" caption="region"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D83220-B46D-433C-9EA9-3DD603CFFD1E}" name="Table2" displayName="Table2" ref="H44:K49" totalsRowShown="0" headerRowDxfId="0" headerRowBorderDxfId="3" tableBorderDxfId="4">
  <autoFilter ref="H44:K49" xr:uid="{AAD83220-B46D-433C-9EA9-3DD603CFFD1E}"/>
  <tableColumns count="4">
    <tableColumn id="1" xr3:uid="{65B15882-73E7-4CFE-975D-1F91EFB849CB}" name="product_name"/>
    <tableColumn id="2" xr3:uid="{413A21AA-DB6D-4A45-9233-9029FABFE85F}" name="category"/>
    <tableColumn id="3" xr3:uid="{769FAEBE-15E4-480C-8296-CC506F244785}" name="total_orders" dataDxfId="2"/>
    <tableColumn id="4" xr3:uid="{FFD8E1C2-B2D6-4205-94A6-79DDFF4794FC}" name="total_revenue" dataDxfId="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Y49"/>
  <sheetViews>
    <sheetView showGridLines="0" tabSelected="1" workbookViewId="0">
      <selection activeCell="E13" sqref="E13"/>
    </sheetView>
  </sheetViews>
  <sheetFormatPr defaultRowHeight="14.4" x14ac:dyDescent="0.3"/>
  <cols>
    <col min="1" max="1" width="15.33203125" customWidth="1"/>
    <col min="2" max="2" width="26.21875" bestFit="1" customWidth="1"/>
    <col min="3" max="3" width="32.109375" customWidth="1"/>
    <col min="6" max="6" width="1.6640625" customWidth="1"/>
    <col min="7" max="7" width="6.33203125" customWidth="1"/>
    <col min="8" max="8" width="23.77734375" customWidth="1"/>
    <col min="9" max="9" width="14.33203125" customWidth="1"/>
    <col min="10" max="10" width="13.109375" customWidth="1"/>
    <col min="11" max="11" width="15.109375" customWidth="1"/>
    <col min="12" max="12" width="13.77734375" customWidth="1"/>
    <col min="13" max="13" width="12.77734375" customWidth="1"/>
    <col min="14" max="14" width="15.77734375" customWidth="1"/>
  </cols>
  <sheetData>
    <row r="2" spans="1:25" ht="44.4" customHeight="1" x14ac:dyDescent="0.5">
      <c r="A2" s="16" t="s">
        <v>37</v>
      </c>
      <c r="B2" s="16"/>
      <c r="C2" s="16"/>
      <c r="D2" s="16"/>
      <c r="E2" s="16"/>
      <c r="F2" s="16"/>
      <c r="G2" s="16"/>
      <c r="H2" s="16"/>
      <c r="I2" s="16"/>
      <c r="J2" s="16"/>
      <c r="K2" s="16"/>
      <c r="L2" s="16"/>
      <c r="M2" s="16"/>
      <c r="N2" s="16"/>
      <c r="O2" s="16"/>
      <c r="P2" s="16"/>
      <c r="Q2" s="16"/>
      <c r="R2" s="16"/>
      <c r="S2" s="16"/>
      <c r="T2" s="16"/>
      <c r="U2" s="16"/>
      <c r="V2" s="16"/>
      <c r="W2" s="16"/>
      <c r="X2" s="16"/>
      <c r="Y2" s="16"/>
    </row>
    <row r="3" spans="1:25" x14ac:dyDescent="0.3">
      <c r="C3" s="15"/>
    </row>
    <row r="4" spans="1:25" x14ac:dyDescent="0.3">
      <c r="C4" s="15"/>
    </row>
    <row r="11" spans="1:25" ht="35.4" customHeight="1" x14ac:dyDescent="0.3"/>
    <row r="18" spans="2:17" ht="21" x14ac:dyDescent="0.4">
      <c r="B18" s="5"/>
      <c r="J18" s="5"/>
      <c r="Q18" s="5"/>
    </row>
    <row r="19" spans="2:17" ht="33.6" x14ac:dyDescent="0.65">
      <c r="B19" s="6" t="s">
        <v>40</v>
      </c>
      <c r="C19" s="18">
        <v>15294112</v>
      </c>
      <c r="I19" s="14" t="s">
        <v>38</v>
      </c>
      <c r="J19" s="7"/>
      <c r="Q19" s="7" t="s">
        <v>39</v>
      </c>
    </row>
    <row r="43" spans="8:11" ht="18" x14ac:dyDescent="0.35">
      <c r="H43" s="11" t="s">
        <v>19</v>
      </c>
      <c r="I43" s="11"/>
      <c r="J43" s="11"/>
      <c r="K43" s="11"/>
    </row>
    <row r="44" spans="8:11" x14ac:dyDescent="0.3">
      <c r="H44" s="17" t="s">
        <v>16</v>
      </c>
      <c r="I44" s="17" t="s">
        <v>4</v>
      </c>
      <c r="J44" s="17" t="s">
        <v>17</v>
      </c>
      <c r="K44" s="17" t="s">
        <v>0</v>
      </c>
    </row>
    <row r="45" spans="8:11" x14ac:dyDescent="0.3">
      <c r="H45" t="s">
        <v>18</v>
      </c>
      <c r="I45" t="s">
        <v>5</v>
      </c>
      <c r="J45" s="9">
        <v>5197</v>
      </c>
      <c r="K45" s="13">
        <v>3942935.32</v>
      </c>
    </row>
    <row r="46" spans="8:11" x14ac:dyDescent="0.3">
      <c r="H46" t="s">
        <v>18</v>
      </c>
      <c r="I46" t="s">
        <v>6</v>
      </c>
      <c r="J46" s="9">
        <v>4082</v>
      </c>
      <c r="K46" s="13">
        <v>3161785.13</v>
      </c>
    </row>
    <row r="47" spans="8:11" x14ac:dyDescent="0.3">
      <c r="H47" t="s">
        <v>18</v>
      </c>
      <c r="I47" t="s">
        <v>7</v>
      </c>
      <c r="J47" s="9">
        <v>4080</v>
      </c>
      <c r="K47" s="13">
        <v>3139724.29</v>
      </c>
    </row>
    <row r="48" spans="8:11" x14ac:dyDescent="0.3">
      <c r="H48" t="s">
        <v>18</v>
      </c>
      <c r="I48" t="s">
        <v>8</v>
      </c>
      <c r="J48" s="9">
        <v>3862</v>
      </c>
      <c r="K48" s="13">
        <v>2945353.3</v>
      </c>
    </row>
    <row r="49" spans="8:11" x14ac:dyDescent="0.3">
      <c r="H49" t="s">
        <v>18</v>
      </c>
      <c r="I49" t="s">
        <v>9</v>
      </c>
      <c r="J49" s="9">
        <v>2779</v>
      </c>
      <c r="K49" s="13">
        <v>2104313.96</v>
      </c>
    </row>
  </sheetData>
  <mergeCells count="3">
    <mergeCell ref="H43:K43"/>
    <mergeCell ref="C3:C4"/>
    <mergeCell ref="A2:Y2"/>
  </mergeCells>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28EE5-6E04-4F69-A442-4197DB2830F3}">
  <dimension ref="A3:B17"/>
  <sheetViews>
    <sheetView showGridLines="0" workbookViewId="0">
      <selection activeCell="B11" sqref="B11"/>
    </sheetView>
  </sheetViews>
  <sheetFormatPr defaultRowHeight="14.4" x14ac:dyDescent="0.3"/>
  <cols>
    <col min="1" max="1" width="12.5546875" bestFit="1" customWidth="1"/>
    <col min="2" max="2" width="22.21875" bestFit="1" customWidth="1"/>
  </cols>
  <sheetData>
    <row r="3" spans="1:2" x14ac:dyDescent="0.3">
      <c r="A3" s="8" t="s">
        <v>20</v>
      </c>
      <c r="B3" t="s">
        <v>23</v>
      </c>
    </row>
    <row r="4" spans="1:2" x14ac:dyDescent="0.3">
      <c r="A4" s="9" t="s">
        <v>22</v>
      </c>
      <c r="B4" s="12">
        <v>5227268.7200000007</v>
      </c>
    </row>
    <row r="5" spans="1:2" x14ac:dyDescent="0.3">
      <c r="A5" s="10" t="s">
        <v>24</v>
      </c>
      <c r="B5" s="12">
        <v>414543.73</v>
      </c>
    </row>
    <row r="6" spans="1:2" x14ac:dyDescent="0.3">
      <c r="A6" s="10" t="s">
        <v>25</v>
      </c>
      <c r="B6" s="12">
        <v>393369.8</v>
      </c>
    </row>
    <row r="7" spans="1:2" x14ac:dyDescent="0.3">
      <c r="A7" s="10" t="s">
        <v>26</v>
      </c>
      <c r="B7" s="12">
        <v>449463.44</v>
      </c>
    </row>
    <row r="8" spans="1:2" x14ac:dyDescent="0.3">
      <c r="A8" s="10" t="s">
        <v>27</v>
      </c>
      <c r="B8" s="12">
        <v>455790.15</v>
      </c>
    </row>
    <row r="9" spans="1:2" x14ac:dyDescent="0.3">
      <c r="A9" s="10" t="s">
        <v>28</v>
      </c>
      <c r="B9" s="12">
        <v>471889.43</v>
      </c>
    </row>
    <row r="10" spans="1:2" x14ac:dyDescent="0.3">
      <c r="A10" s="10" t="s">
        <v>29</v>
      </c>
      <c r="B10" s="12">
        <v>439426.11</v>
      </c>
    </row>
    <row r="11" spans="1:2" x14ac:dyDescent="0.3">
      <c r="A11" s="10" t="s">
        <v>30</v>
      </c>
      <c r="B11" s="12">
        <v>425390.97</v>
      </c>
    </row>
    <row r="12" spans="1:2" x14ac:dyDescent="0.3">
      <c r="A12" s="10" t="s">
        <v>31</v>
      </c>
      <c r="B12" s="12">
        <v>431551.19</v>
      </c>
    </row>
    <row r="13" spans="1:2" x14ac:dyDescent="0.3">
      <c r="A13" s="10" t="s">
        <v>32</v>
      </c>
      <c r="B13" s="12">
        <v>435790.96</v>
      </c>
    </row>
    <row r="14" spans="1:2" x14ac:dyDescent="0.3">
      <c r="A14" s="10" t="s">
        <v>33</v>
      </c>
      <c r="B14" s="12">
        <v>406923.22</v>
      </c>
    </row>
    <row r="15" spans="1:2" x14ac:dyDescent="0.3">
      <c r="A15" s="10" t="s">
        <v>34</v>
      </c>
      <c r="B15" s="12">
        <v>461174.65</v>
      </c>
    </row>
    <row r="16" spans="1:2" x14ac:dyDescent="0.3">
      <c r="A16" s="10" t="s">
        <v>35</v>
      </c>
      <c r="B16" s="12">
        <v>441955.07</v>
      </c>
    </row>
    <row r="17" spans="1:2" x14ac:dyDescent="0.3">
      <c r="A17" s="9" t="s">
        <v>21</v>
      </c>
      <c r="B17" s="12">
        <v>5227268.7200000007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EF823-257C-40D8-8461-7AFBB170980E}">
  <dimension ref="A1:D38"/>
  <sheetViews>
    <sheetView workbookViewId="0">
      <selection activeCell="A13" sqref="A13"/>
    </sheetView>
  </sheetViews>
  <sheetFormatPr defaultRowHeight="14.4" x14ac:dyDescent="0.3"/>
  <cols>
    <col min="1" max="1" width="26.6640625" customWidth="1"/>
    <col min="2" max="2" width="29.88671875" customWidth="1"/>
    <col min="3" max="3" width="29.21875" customWidth="1"/>
    <col min="4" max="4" width="26.5546875" customWidth="1"/>
    <col min="9" max="9" width="8.88671875" customWidth="1"/>
  </cols>
  <sheetData>
    <row r="1" spans="1:4" x14ac:dyDescent="0.3">
      <c r="A1" s="1" t="s">
        <v>1</v>
      </c>
      <c r="B1" s="1" t="s">
        <v>2</v>
      </c>
      <c r="C1" s="1" t="s">
        <v>3</v>
      </c>
      <c r="D1" s="4" t="s">
        <v>15</v>
      </c>
    </row>
    <row r="2" spans="1:4" x14ac:dyDescent="0.3">
      <c r="A2">
        <v>2022</v>
      </c>
      <c r="B2">
        <v>1</v>
      </c>
      <c r="C2">
        <v>424619.87</v>
      </c>
      <c r="D2" s="2">
        <f>DATE(A2,B2,1)</f>
        <v>44562</v>
      </c>
    </row>
    <row r="3" spans="1:4" x14ac:dyDescent="0.3">
      <c r="A3">
        <v>2022</v>
      </c>
      <c r="B3">
        <v>2</v>
      </c>
      <c r="C3">
        <v>374257.3</v>
      </c>
      <c r="D3" s="2">
        <f>DATE(A3,B3,1)</f>
        <v>44593</v>
      </c>
    </row>
    <row r="4" spans="1:4" x14ac:dyDescent="0.3">
      <c r="A4">
        <v>2022</v>
      </c>
      <c r="B4">
        <v>3</v>
      </c>
      <c r="C4">
        <v>425126.01</v>
      </c>
      <c r="D4" s="2">
        <f>DATE(A4,B4,1)</f>
        <v>44621</v>
      </c>
    </row>
    <row r="5" spans="1:4" x14ac:dyDescent="0.3">
      <c r="A5">
        <v>2022</v>
      </c>
      <c r="B5">
        <v>4</v>
      </c>
      <c r="C5">
        <v>394769.94</v>
      </c>
      <c r="D5" s="2">
        <f t="shared" ref="D5:D36" si="0">DATE(A5,B5,1)</f>
        <v>44652</v>
      </c>
    </row>
    <row r="6" spans="1:4" x14ac:dyDescent="0.3">
      <c r="A6">
        <v>2022</v>
      </c>
      <c r="B6">
        <v>5</v>
      </c>
      <c r="C6">
        <v>380524.77</v>
      </c>
      <c r="D6" s="2">
        <f t="shared" si="0"/>
        <v>44682</v>
      </c>
    </row>
    <row r="7" spans="1:4" x14ac:dyDescent="0.3">
      <c r="A7">
        <v>2022</v>
      </c>
      <c r="B7">
        <v>6</v>
      </c>
      <c r="C7">
        <v>397044.08</v>
      </c>
      <c r="D7" s="2">
        <f t="shared" si="0"/>
        <v>44713</v>
      </c>
    </row>
    <row r="8" spans="1:4" x14ac:dyDescent="0.3">
      <c r="A8">
        <v>2022</v>
      </c>
      <c r="B8">
        <v>7</v>
      </c>
      <c r="C8">
        <v>421121.94</v>
      </c>
      <c r="D8" s="2">
        <f t="shared" si="0"/>
        <v>44743</v>
      </c>
    </row>
    <row r="9" spans="1:4" x14ac:dyDescent="0.3">
      <c r="A9">
        <v>2022</v>
      </c>
      <c r="B9">
        <v>8</v>
      </c>
      <c r="C9">
        <v>425276.35</v>
      </c>
      <c r="D9" s="2">
        <f t="shared" si="0"/>
        <v>44774</v>
      </c>
    </row>
    <row r="10" spans="1:4" x14ac:dyDescent="0.3">
      <c r="A10">
        <v>2022</v>
      </c>
      <c r="B10">
        <v>9</v>
      </c>
      <c r="C10">
        <v>444301.17</v>
      </c>
      <c r="D10" s="2">
        <f t="shared" si="0"/>
        <v>44805</v>
      </c>
    </row>
    <row r="11" spans="1:4" x14ac:dyDescent="0.3">
      <c r="A11">
        <v>2022</v>
      </c>
      <c r="B11">
        <v>10</v>
      </c>
      <c r="C11">
        <v>404436.62</v>
      </c>
      <c r="D11" s="2">
        <f t="shared" si="0"/>
        <v>44835</v>
      </c>
    </row>
    <row r="12" spans="1:4" x14ac:dyDescent="0.3">
      <c r="A12">
        <v>2022</v>
      </c>
      <c r="B12">
        <v>11</v>
      </c>
      <c r="C12">
        <v>414188.9</v>
      </c>
      <c r="D12" s="2">
        <f t="shared" si="0"/>
        <v>44866</v>
      </c>
    </row>
    <row r="13" spans="1:4" x14ac:dyDescent="0.3">
      <c r="A13">
        <v>2022</v>
      </c>
      <c r="B13">
        <v>12</v>
      </c>
      <c r="C13">
        <v>397426.1</v>
      </c>
      <c r="D13" s="2">
        <f t="shared" si="0"/>
        <v>44896</v>
      </c>
    </row>
    <row r="14" spans="1:4" x14ac:dyDescent="0.3">
      <c r="A14">
        <v>2023</v>
      </c>
      <c r="B14">
        <v>1</v>
      </c>
      <c r="C14">
        <v>450573.64</v>
      </c>
      <c r="D14" s="2">
        <f t="shared" si="0"/>
        <v>44927</v>
      </c>
    </row>
    <row r="15" spans="1:4" x14ac:dyDescent="0.3">
      <c r="A15">
        <v>2023</v>
      </c>
      <c r="B15">
        <v>2</v>
      </c>
      <c r="C15">
        <v>375510.28</v>
      </c>
      <c r="D15" s="2">
        <f t="shared" si="0"/>
        <v>44958</v>
      </c>
    </row>
    <row r="16" spans="1:4" x14ac:dyDescent="0.3">
      <c r="A16">
        <v>2023</v>
      </c>
      <c r="B16">
        <v>3</v>
      </c>
      <c r="C16">
        <v>430819.5</v>
      </c>
      <c r="D16" s="2">
        <f t="shared" si="0"/>
        <v>44986</v>
      </c>
    </row>
    <row r="17" spans="1:4" x14ac:dyDescent="0.3">
      <c r="A17">
        <v>2023</v>
      </c>
      <c r="B17">
        <v>4</v>
      </c>
      <c r="C17">
        <v>405984.7</v>
      </c>
      <c r="D17" s="2">
        <f t="shared" si="0"/>
        <v>45017</v>
      </c>
    </row>
    <row r="18" spans="1:4" x14ac:dyDescent="0.3">
      <c r="A18">
        <v>2023</v>
      </c>
      <c r="B18">
        <v>5</v>
      </c>
      <c r="C18">
        <v>434039.5</v>
      </c>
      <c r="D18" s="2">
        <f t="shared" si="0"/>
        <v>45047</v>
      </c>
    </row>
    <row r="19" spans="1:4" x14ac:dyDescent="0.3">
      <c r="A19">
        <v>2023</v>
      </c>
      <c r="B19">
        <v>6</v>
      </c>
      <c r="C19">
        <v>431529.24</v>
      </c>
      <c r="D19" s="2">
        <f t="shared" si="0"/>
        <v>45078</v>
      </c>
    </row>
    <row r="20" spans="1:4" x14ac:dyDescent="0.3">
      <c r="A20">
        <v>2023</v>
      </c>
      <c r="B20">
        <v>7</v>
      </c>
      <c r="C20">
        <v>457643.36</v>
      </c>
      <c r="D20" s="2">
        <f t="shared" si="0"/>
        <v>45108</v>
      </c>
    </row>
    <row r="21" spans="1:4" x14ac:dyDescent="0.3">
      <c r="A21">
        <v>2023</v>
      </c>
      <c r="B21">
        <v>8</v>
      </c>
      <c r="C21">
        <v>456740.58</v>
      </c>
      <c r="D21" s="2">
        <f t="shared" si="0"/>
        <v>45139</v>
      </c>
    </row>
    <row r="22" spans="1:4" x14ac:dyDescent="0.3">
      <c r="A22">
        <v>2023</v>
      </c>
      <c r="B22">
        <v>9</v>
      </c>
      <c r="C22">
        <v>453092.56</v>
      </c>
      <c r="D22" s="2">
        <f t="shared" si="0"/>
        <v>45170</v>
      </c>
    </row>
    <row r="23" spans="1:4" x14ac:dyDescent="0.3">
      <c r="A23">
        <v>2023</v>
      </c>
      <c r="B23">
        <v>10</v>
      </c>
      <c r="C23">
        <v>429461.97</v>
      </c>
      <c r="D23" s="2">
        <f t="shared" si="0"/>
        <v>45200</v>
      </c>
    </row>
    <row r="24" spans="1:4" x14ac:dyDescent="0.3">
      <c r="A24">
        <v>2023</v>
      </c>
      <c r="B24">
        <v>11</v>
      </c>
      <c r="C24">
        <v>414942.34</v>
      </c>
      <c r="D24" s="2">
        <f t="shared" si="0"/>
        <v>45231</v>
      </c>
    </row>
    <row r="25" spans="1:4" x14ac:dyDescent="0.3">
      <c r="A25">
        <v>2023</v>
      </c>
      <c r="B25">
        <v>12</v>
      </c>
      <c r="C25">
        <v>423412.56</v>
      </c>
      <c r="D25" s="2">
        <f t="shared" si="0"/>
        <v>45261</v>
      </c>
    </row>
    <row r="26" spans="1:4" x14ac:dyDescent="0.3">
      <c r="A26">
        <v>2024</v>
      </c>
      <c r="B26">
        <v>1</v>
      </c>
      <c r="C26">
        <v>414543.73</v>
      </c>
      <c r="D26" s="2">
        <f t="shared" si="0"/>
        <v>45292</v>
      </c>
    </row>
    <row r="27" spans="1:4" x14ac:dyDescent="0.3">
      <c r="A27">
        <v>2024</v>
      </c>
      <c r="B27">
        <v>2</v>
      </c>
      <c r="C27">
        <v>393369.8</v>
      </c>
      <c r="D27" s="2">
        <f t="shared" si="0"/>
        <v>45323</v>
      </c>
    </row>
    <row r="28" spans="1:4" x14ac:dyDescent="0.3">
      <c r="A28">
        <v>2024</v>
      </c>
      <c r="B28">
        <v>3</v>
      </c>
      <c r="C28">
        <v>449463.44</v>
      </c>
      <c r="D28" s="2">
        <f t="shared" si="0"/>
        <v>45352</v>
      </c>
    </row>
    <row r="29" spans="1:4" x14ac:dyDescent="0.3">
      <c r="A29">
        <v>2024</v>
      </c>
      <c r="B29">
        <v>4</v>
      </c>
      <c r="C29">
        <v>455790.15</v>
      </c>
      <c r="D29" s="2">
        <f t="shared" si="0"/>
        <v>45383</v>
      </c>
    </row>
    <row r="30" spans="1:4" x14ac:dyDescent="0.3">
      <c r="A30">
        <v>2024</v>
      </c>
      <c r="B30">
        <v>5</v>
      </c>
      <c r="C30">
        <v>471889.43</v>
      </c>
      <c r="D30" s="2">
        <f t="shared" si="0"/>
        <v>45413</v>
      </c>
    </row>
    <row r="31" spans="1:4" x14ac:dyDescent="0.3">
      <c r="A31">
        <v>2024</v>
      </c>
      <c r="B31">
        <v>6</v>
      </c>
      <c r="C31">
        <v>439426.11</v>
      </c>
      <c r="D31" s="2">
        <f t="shared" si="0"/>
        <v>45444</v>
      </c>
    </row>
    <row r="32" spans="1:4" x14ac:dyDescent="0.3">
      <c r="A32">
        <v>2024</v>
      </c>
      <c r="B32">
        <v>7</v>
      </c>
      <c r="C32">
        <v>425390.97</v>
      </c>
      <c r="D32" s="2">
        <f t="shared" si="0"/>
        <v>45474</v>
      </c>
    </row>
    <row r="33" spans="1:4" x14ac:dyDescent="0.3">
      <c r="A33">
        <v>2024</v>
      </c>
      <c r="B33">
        <v>8</v>
      </c>
      <c r="C33">
        <v>431551.19</v>
      </c>
      <c r="D33" s="2">
        <f t="shared" si="0"/>
        <v>45505</v>
      </c>
    </row>
    <row r="34" spans="1:4" x14ac:dyDescent="0.3">
      <c r="A34">
        <v>2024</v>
      </c>
      <c r="B34">
        <v>9</v>
      </c>
      <c r="C34">
        <v>435790.96</v>
      </c>
      <c r="D34" s="2">
        <f t="shared" si="0"/>
        <v>45536</v>
      </c>
    </row>
    <row r="35" spans="1:4" x14ac:dyDescent="0.3">
      <c r="A35">
        <v>2024</v>
      </c>
      <c r="B35">
        <v>10</v>
      </c>
      <c r="C35">
        <v>406923.22</v>
      </c>
      <c r="D35" s="2">
        <f t="shared" si="0"/>
        <v>45566</v>
      </c>
    </row>
    <row r="36" spans="1:4" x14ac:dyDescent="0.3">
      <c r="A36">
        <v>2024</v>
      </c>
      <c r="B36">
        <v>11</v>
      </c>
      <c r="C36">
        <v>461174.65</v>
      </c>
      <c r="D36" s="2">
        <f t="shared" si="0"/>
        <v>45597</v>
      </c>
    </row>
    <row r="37" spans="1:4" x14ac:dyDescent="0.3">
      <c r="A37">
        <v>2024</v>
      </c>
      <c r="B37">
        <v>12</v>
      </c>
      <c r="C37">
        <v>441955.07</v>
      </c>
      <c r="D37" s="2">
        <f>DATE(A37,B37,1)</f>
        <v>45627</v>
      </c>
    </row>
    <row r="38" spans="1:4" x14ac:dyDescent="0.3">
      <c r="C38">
        <f>SUM(C2:C37)</f>
        <v>15294112.000000004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6A1F9-555B-4F1F-9405-D6A64D60D85D}">
  <dimension ref="A3:B5"/>
  <sheetViews>
    <sheetView showGridLines="0" workbookViewId="0">
      <selection activeCell="B5" sqref="B5"/>
    </sheetView>
  </sheetViews>
  <sheetFormatPr defaultRowHeight="14.4" x14ac:dyDescent="0.3"/>
  <cols>
    <col min="1" max="1" width="12.5546875" bestFit="1" customWidth="1"/>
    <col min="2" max="2" width="19.44140625" bestFit="1" customWidth="1"/>
  </cols>
  <sheetData>
    <row r="3" spans="1:2" x14ac:dyDescent="0.3">
      <c r="A3" s="8" t="s">
        <v>20</v>
      </c>
      <c r="B3" t="s">
        <v>36</v>
      </c>
    </row>
    <row r="4" spans="1:2" x14ac:dyDescent="0.3">
      <c r="A4" s="9" t="s">
        <v>7</v>
      </c>
      <c r="B4" s="12">
        <v>3139724.29</v>
      </c>
    </row>
    <row r="5" spans="1:2" x14ac:dyDescent="0.3">
      <c r="A5" s="9" t="s">
        <v>21</v>
      </c>
      <c r="B5" s="12">
        <v>3139724.29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BE631-FD37-4D5D-8AD8-4BE49E7511D9}">
  <dimension ref="A1:B6"/>
  <sheetViews>
    <sheetView workbookViewId="0">
      <selection activeCell="A5" sqref="A5"/>
    </sheetView>
  </sheetViews>
  <sheetFormatPr defaultRowHeight="14.4" x14ac:dyDescent="0.3"/>
  <cols>
    <col min="1" max="2" width="21" customWidth="1"/>
  </cols>
  <sheetData>
    <row r="1" spans="1:2" x14ac:dyDescent="0.3">
      <c r="A1" s="1" t="s">
        <v>4</v>
      </c>
      <c r="B1" s="1" t="s">
        <v>0</v>
      </c>
    </row>
    <row r="2" spans="1:2" x14ac:dyDescent="0.3">
      <c r="A2" t="s">
        <v>5</v>
      </c>
      <c r="B2">
        <v>3942935.32</v>
      </c>
    </row>
    <row r="3" spans="1:2" x14ac:dyDescent="0.3">
      <c r="A3" t="s">
        <v>6</v>
      </c>
      <c r="B3">
        <v>3161785.13</v>
      </c>
    </row>
    <row r="4" spans="1:2" x14ac:dyDescent="0.3">
      <c r="A4" t="s">
        <v>7</v>
      </c>
      <c r="B4">
        <v>3139724.29</v>
      </c>
    </row>
    <row r="5" spans="1:2" x14ac:dyDescent="0.3">
      <c r="A5" t="s">
        <v>8</v>
      </c>
      <c r="B5">
        <v>2945353.3</v>
      </c>
    </row>
    <row r="6" spans="1:2" x14ac:dyDescent="0.3">
      <c r="A6" t="s">
        <v>9</v>
      </c>
      <c r="B6">
        <v>2104313.96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7FA24-05D7-45D6-BC5F-9BDC3A02781C}">
  <dimension ref="A3:B8"/>
  <sheetViews>
    <sheetView showGridLines="0" workbookViewId="0">
      <selection activeCell="H6" sqref="H6"/>
    </sheetView>
  </sheetViews>
  <sheetFormatPr defaultRowHeight="14.4" x14ac:dyDescent="0.3"/>
  <cols>
    <col min="1" max="1" width="12.5546875" bestFit="1" customWidth="1"/>
    <col min="2" max="2" width="19.44140625" bestFit="1" customWidth="1"/>
  </cols>
  <sheetData>
    <row r="3" spans="1:2" x14ac:dyDescent="0.3">
      <c r="A3" s="8" t="s">
        <v>20</v>
      </c>
      <c r="B3" t="s">
        <v>36</v>
      </c>
    </row>
    <row r="4" spans="1:2" x14ac:dyDescent="0.3">
      <c r="A4" s="9" t="s">
        <v>11</v>
      </c>
      <c r="B4" s="12">
        <v>3873231.43</v>
      </c>
    </row>
    <row r="5" spans="1:2" x14ac:dyDescent="0.3">
      <c r="A5" s="9" t="s">
        <v>14</v>
      </c>
      <c r="B5" s="12">
        <v>3752970.69</v>
      </c>
    </row>
    <row r="6" spans="1:2" x14ac:dyDescent="0.3">
      <c r="A6" s="9" t="s">
        <v>13</v>
      </c>
      <c r="B6" s="12">
        <v>3796181.84</v>
      </c>
    </row>
    <row r="7" spans="1:2" x14ac:dyDescent="0.3">
      <c r="A7" s="9" t="s">
        <v>12</v>
      </c>
      <c r="B7" s="12">
        <v>3871728.04</v>
      </c>
    </row>
    <row r="8" spans="1:2" x14ac:dyDescent="0.3">
      <c r="A8" s="9" t="s">
        <v>21</v>
      </c>
      <c r="B8" s="12">
        <v>15294112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F49B6-EE21-424A-BE55-954C64B919EF}">
  <dimension ref="A1:B5"/>
  <sheetViews>
    <sheetView workbookViewId="0">
      <selection activeCell="A4" sqref="A4"/>
    </sheetView>
  </sheetViews>
  <sheetFormatPr defaultRowHeight="14.4" x14ac:dyDescent="0.3"/>
  <cols>
    <col min="1" max="1" width="16.44140625" customWidth="1"/>
    <col min="2" max="2" width="19.44140625" customWidth="1"/>
  </cols>
  <sheetData>
    <row r="1" spans="1:2" x14ac:dyDescent="0.3">
      <c r="A1" s="1" t="s">
        <v>10</v>
      </c>
      <c r="B1" s="1" t="s">
        <v>0</v>
      </c>
    </row>
    <row r="2" spans="1:2" x14ac:dyDescent="0.3">
      <c r="A2" t="s">
        <v>11</v>
      </c>
      <c r="B2">
        <v>3873231.43</v>
      </c>
    </row>
    <row r="3" spans="1:2" x14ac:dyDescent="0.3">
      <c r="A3" t="s">
        <v>12</v>
      </c>
      <c r="B3">
        <v>3871728.04</v>
      </c>
    </row>
    <row r="4" spans="1:2" x14ac:dyDescent="0.3">
      <c r="A4" t="s">
        <v>13</v>
      </c>
      <c r="B4">
        <v>3796181.84</v>
      </c>
    </row>
    <row r="5" spans="1:2" x14ac:dyDescent="0.3">
      <c r="A5" t="s">
        <v>14</v>
      </c>
      <c r="B5">
        <v>3752970.69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838AF-A642-48BD-AB1E-34C37D005EAF}">
  <dimension ref="A1:D6"/>
  <sheetViews>
    <sheetView workbookViewId="0">
      <selection sqref="A1:D6"/>
    </sheetView>
  </sheetViews>
  <sheetFormatPr defaultRowHeight="14.4" x14ac:dyDescent="0.3"/>
  <cols>
    <col min="1" max="1" width="18.5546875" customWidth="1"/>
    <col min="2" max="2" width="17.21875" customWidth="1"/>
    <col min="3" max="4" width="27.44140625" customWidth="1"/>
  </cols>
  <sheetData>
    <row r="1" spans="1:4" x14ac:dyDescent="0.3">
      <c r="A1" s="3" t="s">
        <v>16</v>
      </c>
      <c r="B1" s="3" t="s">
        <v>4</v>
      </c>
      <c r="C1" s="3" t="s">
        <v>17</v>
      </c>
      <c r="D1" s="3" t="s">
        <v>0</v>
      </c>
    </row>
    <row r="2" spans="1:4" x14ac:dyDescent="0.3">
      <c r="A2" t="s">
        <v>18</v>
      </c>
      <c r="B2" t="s">
        <v>5</v>
      </c>
      <c r="C2">
        <v>5197</v>
      </c>
      <c r="D2">
        <v>3942935.32</v>
      </c>
    </row>
    <row r="3" spans="1:4" x14ac:dyDescent="0.3">
      <c r="A3" t="s">
        <v>18</v>
      </c>
      <c r="B3" t="s">
        <v>6</v>
      </c>
      <c r="C3">
        <v>4082</v>
      </c>
      <c r="D3">
        <v>3161785.13</v>
      </c>
    </row>
    <row r="4" spans="1:4" x14ac:dyDescent="0.3">
      <c r="A4" t="s">
        <v>18</v>
      </c>
      <c r="B4" t="s">
        <v>7</v>
      </c>
      <c r="C4">
        <v>4080</v>
      </c>
      <c r="D4">
        <v>3139724.29</v>
      </c>
    </row>
    <row r="5" spans="1:4" x14ac:dyDescent="0.3">
      <c r="A5" t="s">
        <v>18</v>
      </c>
      <c r="B5" t="s">
        <v>8</v>
      </c>
      <c r="C5">
        <v>3862</v>
      </c>
      <c r="D5">
        <v>2945353.3</v>
      </c>
    </row>
    <row r="6" spans="1:4" x14ac:dyDescent="0.3">
      <c r="A6" t="s">
        <v>18</v>
      </c>
      <c r="B6" t="s">
        <v>9</v>
      </c>
      <c r="C6">
        <v>2779</v>
      </c>
      <c r="D6">
        <v>2104313.96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PIVOT_Monthly_Revenue</vt:lpstr>
      <vt:lpstr>DATA_Monthly_Revenue</vt:lpstr>
      <vt:lpstr>PIVOT_Category_Revenue</vt:lpstr>
      <vt:lpstr>DATA_Category_Revenue</vt:lpstr>
      <vt:lpstr>PIVOT_Region_Revenue</vt:lpstr>
      <vt:lpstr>DATA_Region_Revenue</vt:lpstr>
      <vt:lpstr>DATA_Top10_Products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Kumar</dc:creator>
  <cp:lastModifiedBy>Kiran Kumar</cp:lastModifiedBy>
  <dcterms:created xsi:type="dcterms:W3CDTF">2015-06-05T18:17:20Z</dcterms:created>
  <dcterms:modified xsi:type="dcterms:W3CDTF">2026-03-06T11:26:42Z</dcterms:modified>
</cp:coreProperties>
</file>